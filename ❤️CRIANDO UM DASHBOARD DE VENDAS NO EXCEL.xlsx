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FA6CF07A-6EC7-4FE1-AA72-A4893F649D11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  <sheet name="Planilha1" sheetId="5" state="hidden" r:id="rId5"/>
  </sheets>
  <definedNames>
    <definedName name="SegmentaçãodeDados_Subscription_Type">#N/A</definedName>
  </definedNames>
  <calcPr calcId="191028"/>
  <pivotCaches>
    <pivotCache cacheId="467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3" l="1"/>
  <c r="J7" i="4" s="1"/>
  <c r="E22" i="3"/>
  <c r="D8" i="4" s="1"/>
</calcChain>
</file>

<file path=xl/sharedStrings.xml><?xml version="1.0" encoding="utf-8"?>
<sst xmlns="http://schemas.openxmlformats.org/spreadsheetml/2006/main" count="2032" uniqueCount="325">
  <si>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</si>
  <si>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</si>
  <si>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</si>
  <si>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</si>
  <si>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</si>
  <si>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</si>
  <si>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</si>
  <si>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</si>
  <si>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</si>
  <si>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</si>
  <si>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</si>
  <si>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</si>
  <si>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</si>
  <si>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</si>
  <si>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</si>
  <si>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</si>
  <si>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</si>
  <si>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</si>
  <si>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</si>
  <si>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</si>
  <si>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</si>
  <si>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</si>
  <si>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</si>
  <si>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</si>
  <si>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</si>
  <si>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</si>
  <si>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</si>
  <si>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</si>
  <si>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</si>
  <si>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</si>
  <si>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</si>
  <si>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</si>
  <si>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</si>
  <si>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</si>
  <si>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</si>
  <si>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</si>
  <si>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</si>
  <si>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</si>
  <si>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</si>
  <si>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</si>
  <si>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</si>
  <si>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</si>
  <si>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</si>
  <si>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</si>
  <si>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</si>
  <si>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</si>
  <si>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</si>
  <si>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</si>
  <si>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</si>
  <si>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</si>
  <si>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</si>
  <si>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</si>
  <si>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</si>
  <si>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</si>
  <si>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</si>
  <si>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</si>
  <si>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</si>
  <si>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</si>
  <si>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</si>
  <si>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</si>
  <si>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</si>
  <si>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</si>
  <si>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</si>
  <si>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</si>
  <si>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</si>
  <si>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</si>
  <si>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</si>
  <si>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</si>
  <si>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</si>
  <si>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</si>
  <si>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</si>
  <si>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</si>
  <si>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</si>
  <si>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</si>
  <si>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</si>
  <si>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</si>
  <si>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</si>
  <si>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</si>
  <si>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</si>
  <si>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</si>
  <si>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</si>
  <si>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</si>
  <si>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</si>
  <si>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</si>
  <si>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</si>
  <si>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</si>
  <si>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</si>
  <si>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</si>
  <si>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</si>
  <si>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</si>
  <si>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</si>
  <si>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</si>
  <si>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</si>
  <si>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</si>
  <si>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</si>
  <si>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</si>
  <si>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</si>
  <si>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</si>
  <si>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</si>
  <si>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</si>
  <si>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</si>
  <si>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</si>
  <si>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</si>
  <si>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</si>
  <si>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</si>
  <si>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</si>
  <si>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</si>
  <si>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</si>
  <si>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</si>
  <si>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</si>
  <si>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</si>
  <si>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</si>
  <si>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</si>
  <si>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</si>
  <si>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</si>
  <si>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</si>
  <si>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</si>
  <si>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</si>
  <si>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</si>
  <si>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</si>
  <si>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</si>
  <si>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</si>
  <si>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</si>
  <si>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</si>
  <si>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</si>
  <si>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</si>
  <si>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</si>
  <si>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</si>
  <si>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</si>
  <si>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</si>
  <si>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</si>
  <si>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</si>
  <si>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</si>
  <si>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</si>
  <si>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</si>
  <si>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</si>
  <si>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</si>
  <si>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</si>
  <si>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</si>
  <si>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</si>
  <si>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</si>
  <si>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</si>
  <si>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</si>
  <si>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</si>
  <si>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</si>
  <si>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</si>
  <si>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</si>
  <si>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</si>
  <si>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</si>
  <si>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</si>
  <si>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</si>
  <si>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</si>
  <si>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</si>
  <si>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</si>
  <si>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</si>
  <si>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</si>
  <si>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</si>
  <si>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</si>
  <si>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</si>
  <si>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</si>
  <si>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</si>
  <si>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</si>
  <si>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</si>
  <si>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</si>
  <si>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</si>
  <si>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</si>
  <si>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</si>
  <si>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</si>
  <si>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</si>
  <si>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</si>
  <si>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</si>
  <si>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</si>
  <si>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</si>
  <si>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</si>
  <si>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</si>
  <si>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</si>
  <si>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</si>
  <si>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</si>
  <si>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</si>
  <si>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</si>
  <si>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</si>
  <si>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</si>
  <si>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</si>
  <si>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</si>
  <si>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</si>
  <si>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</si>
  <si>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</si>
  <si>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</si>
  <si>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</si>
  <si>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</si>
  <si>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</si>
  <si>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</si>
  <si>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</si>
  <si>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</si>
  <si>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</si>
  <si>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</si>
  <si>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</si>
  <si>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</si>
  <si>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</si>
  <si>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</si>
  <si>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</si>
  <si>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</si>
  <si>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</si>
  <si>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</si>
  <si>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</si>
  <si>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</si>
  <si>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</si>
  <si>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</si>
  <si>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</si>
  <si>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</si>
  <si>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</si>
  <si>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</si>
  <si>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</si>
  <si>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</si>
  <si>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</si>
  <si>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</si>
  <si>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</si>
  <si>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</si>
  <si>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</si>
  <si>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</si>
  <si>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</si>
  <si>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</si>
  <si>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</si>
  <si>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</si>
  <si>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</si>
  <si>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</si>
  <si>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</si>
  <si>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</si>
  <si>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</si>
  <si>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</si>
  <si>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</si>
  <si>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</si>
  <si>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</si>
  <si>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</si>
  <si>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</si>
  <si>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</si>
  <si>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</si>
  <si>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</si>
  <si>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</si>
  <si>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</si>
  <si>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</si>
  <si>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</si>
  <si>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</si>
  <si>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</si>
  <si>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</si>
  <si>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</si>
  <si>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</si>
  <si>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</si>
  <si>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</si>
  <si>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</si>
  <si>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</si>
  <si>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</si>
  <si>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</si>
  <si>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</si>
  <si>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</si>
  <si>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</si>
  <si>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</si>
  <si>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</si>
  <si>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</si>
  <si>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</si>
  <si>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</si>
  <si>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</si>
  <si>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</si>
  <si>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</si>
  <si>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</si>
  <si>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</si>
  <si>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</si>
  <si>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</si>
  <si>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</si>
  <si>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</si>
  <si>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</si>
  <si>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</si>
  <si>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</si>
  <si>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</si>
  <si>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</si>
  <si>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</si>
  <si>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</si>
  <si>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</si>
  <si>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</si>
  <si>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</si>
  <si>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</si>
  <si>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</si>
  <si>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</si>
  <si>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</si>
  <si>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</si>
  <si>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</si>
  <si>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</si>
  <si>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</si>
  <si>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</si>
  <si>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</si>
  <si>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</si>
  <si>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</si>
  <si>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</si>
  <si>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</si>
  <si>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</si>
  <si>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</si>
  <si>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</si>
  <si>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</si>
  <si>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</si>
  <si>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</si>
  <si>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</si>
  <si>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</si>
  <si>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</si>
  <si>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</si>
  <si>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</si>
  <si>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</si>
  <si>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</si>
  <si>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</si>
  <si>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</si>
  <si>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</si>
  <si>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</si>
  <si>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</si>
  <si>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</si>
  <si>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uma análise de dado específica</t>
  </si>
  <si>
    <r>
      <rPr>
        <sz val="11"/>
        <color rgb="FF000000"/>
        <rFont val="Aptos Narrow"/>
        <scheme val="minor"/>
      </rPr>
      <t xml:space="preserve">Pergunta de Negócio 1-Qual faturamento </t>
    </r>
    <r>
      <rPr>
        <b/>
        <sz val="11"/>
        <color rgb="FF000000"/>
        <rFont val="Aptos Narrow"/>
        <scheme val="minor"/>
      </rPr>
      <t>total de vendas</t>
    </r>
    <r>
      <rPr>
        <sz val="11"/>
        <color rgb="FF000000"/>
        <rFont val="Aptos Narrow"/>
        <scheme val="minor"/>
      </rPr>
      <t xml:space="preserve"> de</t>
    </r>
    <r>
      <rPr>
        <b/>
        <sz val="11"/>
        <color rgb="FF000000"/>
        <rFont val="Aptos Narrow"/>
        <scheme val="minor"/>
      </rPr>
      <t xml:space="preserve"> planos anuais</t>
    </r>
    <r>
      <rPr>
        <sz val="11"/>
        <color rgb="FF000000"/>
        <rFont val="Aptos Narrow"/>
        <scheme val="minor"/>
      </rPr>
      <t>(contendo todas as  assinaturas agregadas)</t>
    </r>
  </si>
  <si>
    <r>
      <rPr>
        <sz val="11"/>
        <color rgb="FF000000"/>
        <rFont val="Aptos Narrow"/>
        <scheme val="minor"/>
      </rPr>
      <t>Pergunta de Negócio 2-Qual faturamento</t>
    </r>
    <r>
      <rPr>
        <b/>
        <sz val="11"/>
        <color rgb="FF000000"/>
        <rFont val="Aptos Narrow"/>
        <scheme val="minor"/>
      </rPr>
      <t xml:space="preserve"> total de vendas </t>
    </r>
    <r>
      <rPr>
        <sz val="11"/>
        <color rgb="FF000000"/>
        <rFont val="Aptos Narrow"/>
        <scheme val="minor"/>
      </rPr>
      <t>de</t>
    </r>
    <r>
      <rPr>
        <b/>
        <sz val="11"/>
        <color rgb="FF000000"/>
        <rFont val="Aptos Narrow"/>
        <scheme val="minor"/>
      </rPr>
      <t xml:space="preserve"> planos anuais</t>
    </r>
    <r>
      <rPr>
        <sz val="11"/>
        <color rgb="FF000000"/>
        <rFont val="Aptos Narrow"/>
        <scheme val="minor"/>
      </rPr>
      <t>,separado por auto renovação não e por auto renovação.</t>
    </r>
  </si>
  <si>
    <t>Soma de Total Value</t>
  </si>
  <si>
    <t>Quarterly Total</t>
  </si>
  <si>
    <t>Total Geral</t>
  </si>
  <si>
    <t>Pergunta de negócio 3-Total de vendas de assinaturas do EA Play</t>
  </si>
  <si>
    <t>Soma de EA Play Season PassPrice</t>
  </si>
  <si>
    <t>Pergunta de NEGÓCIO 4-Total de Vendas de Assinaturas do Minecraft Season Pass</t>
  </si>
  <si>
    <t>Soma de Minecraft Season Pass Price</t>
  </si>
  <si>
    <t xml:space="preserve">              XBOX GAME PASS SUBSCRIPTIONS SALES</t>
  </si>
  <si>
    <t>Calculation period :01/01/2024-31/12/2024 | Update date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</si>
</sst>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theme="1"/>
      <name val="Segoe UI"/>
    </font>
    <font>
      <sz val="20"/>
      <color theme="1"/>
      <name val="Aptos Narrow"/>
      <family val="2"/>
      <scheme val="minor"/>
    </font>
    <font>
      <b/>
      <sz val="11"/>
      <color rgb="FF22C55E"/>
      <name val="Aptos Narrow"/>
      <family val="2"/>
      <scheme val="minor"/>
    </font>
    <font>
      <b/>
      <sz val="20"/>
      <color rgb="FF00B050"/>
      <name val="Aptos Narrow"/>
      <family val="2"/>
      <scheme val="minor"/>
    </font>
    <font>
      <b/>
      <sz val="18"/>
      <color rgb="FF00B050"/>
      <name val="Segoe UI"/>
    </font>
    <font>
      <sz val="10"/>
      <color theme="1"/>
      <name val="Aptos Narrow"/>
      <family val="2"/>
      <scheme val="minor"/>
    </font>
    <font>
      <b/>
      <sz val="9"/>
      <color theme="2" tint="-0.49998474074526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6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/>
    <xf numFmtId="0" fontId="0" fillId="0" borderId="0" xfId="0" pivotButton="1"/>
    <xf numFmtId="44" fontId="0" fillId="0" borderId="0" xfId="0" applyNumberFormat="1"/>
    <xf numFmtId="0" fontId="0" fillId="0" borderId="0" xfId="0" applyFill="1"/>
    <xf numFmtId="0" fontId="0" fillId="0" borderId="0" xfId="0" applyBorder="1"/>
    <xf numFmtId="0" fontId="6" fillId="7" borderId="0" xfId="0" applyFont="1" applyFill="1"/>
    <xf numFmtId="0" fontId="0" fillId="7" borderId="0" xfId="0" applyFill="1" applyAlignment="1">
      <alignment horizontal="center"/>
    </xf>
    <xf numFmtId="164" fontId="0" fillId="0" borderId="0" xfId="0" applyNumberFormat="1"/>
    <xf numFmtId="0" fontId="0" fillId="0" borderId="0" xfId="0" applyNumberFormat="1"/>
    <xf numFmtId="0" fontId="0" fillId="9" borderId="0" xfId="0" applyFill="1"/>
    <xf numFmtId="0" fontId="3" fillId="7" borderId="0" xfId="0" applyFont="1" applyFill="1"/>
    <xf numFmtId="0" fontId="0" fillId="10" borderId="0" xfId="0" applyFill="1"/>
    <xf numFmtId="0" fontId="11" fillId="7" borderId="0" xfId="0" applyFont="1" applyFill="1"/>
    <xf numFmtId="0" fontId="0" fillId="11" borderId="0" xfId="0" applyFill="1"/>
    <xf numFmtId="0" fontId="0" fillId="11" borderId="0" xfId="0" applyFill="1" applyBorder="1"/>
    <xf numFmtId="164" fontId="7" fillId="9" borderId="0" xfId="0" applyNumberFormat="1" applyFont="1" applyFill="1" applyAlignment="1">
      <alignment horizontal="center"/>
    </xf>
    <xf numFmtId="0" fontId="8" fillId="0" borderId="2" xfId="0" applyFont="1" applyBorder="1" applyAlignment="1"/>
    <xf numFmtId="164" fontId="10" fillId="9" borderId="0" xfId="0" applyNumberFormat="1" applyFont="1" applyFill="1" applyAlignment="1">
      <alignment horizontal="center" vertical="center"/>
    </xf>
    <xf numFmtId="164" fontId="9" fillId="9" borderId="0" xfId="0" applyNumberFormat="1" applyFont="1" applyFill="1" applyAlignment="1">
      <alignment horizontal="center" vertical="center"/>
    </xf>
    <xf numFmtId="0" fontId="12" fillId="7" borderId="0" xfId="0" applyFont="1" applyFill="1" applyAlignment="1">
      <alignment horizontal="left" vertical="top"/>
    </xf>
    <xf numFmtId="0" fontId="0" fillId="9" borderId="0" xfId="0" applyFill="1" applyAlignment="1"/>
    <xf numFmtId="0" fontId="3" fillId="8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</dxfs>
  <tableStyles count="0" defaultTableStyle="TableStyleMedium2" defaultPivotStyle="PivotStyleLight16"/>
  <colors>
    <mruColors>
      <color rgb="FF22C55E"/>
      <color rgb="FFE8E6E9"/>
      <color rgb="FFEDEDED"/>
      <color rgb="FF5BF6A8"/>
      <color rgb="FF2AE6B1"/>
      <color rgb="FF5BF6AB"/>
      <color rgb="FF000000"/>
      <color rgb="FFE0E0E0"/>
      <color rgb="FFF7F8FC"/>
      <color rgb="FF9BC8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[❤️CRIANDO UM DASHBOARD DE VENDAS NO EXCEL.xlsx]C̳álculos!Tabela dinâmica2</c:name>
    <c:fmtId val="1"/>
  </c:pivotSource>
  <c:chart>
    <c:autoTitleDeleted val="1"/>
    <c:pivotFmts>
      <c:pivotFmt>
        <c:idx val="0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C̳álculos!$B$11:$C$14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Quarterly</c:v>
                  </c:pt>
                </c:lvl>
              </c:multiLvlStrCache>
            </c:multiLvlStrRef>
          </c:cat>
          <c:val>
            <c:numRef>
              <c:f>C̳álculos!$D$11:$D$14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9-45F8-81CE-DF1364626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4772615"/>
        <c:axId val="1784777223"/>
      </c:barChart>
      <c:catAx>
        <c:axId val="1784772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777223"/>
        <c:crosses val="autoZero"/>
        <c:auto val="1"/>
        <c:lblAlgn val="ctr"/>
        <c:lblOffset val="100"/>
        <c:noMultiLvlLbl val="0"/>
      </c:catAx>
      <c:valAx>
        <c:axId val="178477722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84772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[❤️CRIANDO UM DASHBOARD DE VENDAS NO EXCEL.xlsx]C̳álculos!Tabela dinâmica2</c:name>
    <c:fmtId val="21"/>
  </c:pivotSource>
  <c:chart>
    <c:autoTitleDeleted val="1"/>
    <c:pivotFmts>
      <c:pivotFmt>
        <c:idx val="0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multiLvlStrRef>
              <c:f>C̳álculos!$B$11:$C$14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Quarterly</c:v>
                  </c:pt>
                </c:lvl>
              </c:multiLvlStrCache>
            </c:multiLvlStrRef>
          </c:cat>
          <c:val>
            <c:numRef>
              <c:f>C̳álculos!$D$11:$D$14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2-4F3C-AF33-900AF0614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4772615"/>
        <c:axId val="1784777223"/>
      </c:barChart>
      <c:catAx>
        <c:axId val="1784772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777223"/>
        <c:crosses val="autoZero"/>
        <c:auto val="1"/>
        <c:lblAlgn val="ctr"/>
        <c:lblOffset val="100"/>
        <c:noMultiLvlLbl val="0"/>
      </c:catAx>
      <c:valAx>
        <c:axId val="178477722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84772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2.xml"/><Relationship Id="rId1" Type="http://schemas.openxmlformats.org/officeDocument/2006/relationships/image" Target="../media/image2.png"/><Relationship Id="rId5" Type="http://schemas.openxmlformats.org/officeDocument/2006/relationships/image" Target="../media/image1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4</xdr:col>
      <xdr:colOff>238125</xdr:colOff>
      <xdr:row>25</xdr:row>
      <xdr:rowOff>171450</xdr:rowOff>
    </xdr:from>
    <xdr:to>
      <xdr:col>6</xdr:col>
      <xdr:colOff>238125</xdr:colOff>
      <xdr:row>31</xdr:row>
      <xdr:rowOff>38100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2676525" y="5086350"/>
          <a:ext cx="1219200" cy="1009650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76200</xdr:colOff>
      <xdr:row>8</xdr:row>
      <xdr:rowOff>161925</xdr:rowOff>
    </xdr:from>
    <xdr:to>
      <xdr:col>8</xdr:col>
      <xdr:colOff>276225</xdr:colOff>
      <xdr:row>19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83848C-542A-ADB2-EFE3-853A2BAEE3D6}"/>
            </a:ext>
            <a:ext uri="{147F2762-F138-4A5C-976F-8EAC2B608ADB}">
              <a16:predDERef xmlns:a16="http://schemas.microsoft.com/office/drawing/2014/main" pred="{C004F30A-D860-6505-73AE-D8D70F3D8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228600</xdr:colOff>
      <xdr:row>9</xdr:row>
      <xdr:rowOff>0</xdr:rowOff>
    </xdr:from>
    <xdr:to>
      <xdr:col>5</xdr:col>
      <xdr:colOff>238125</xdr:colOff>
      <xdr:row>16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3D8CDEC2-E27A-D12E-CACE-A575190D53D2}"/>
                </a:ext>
                <a:ext uri="{147F2762-F138-4A5C-976F-8EAC2B608ADB}">
                  <a16:predDERef xmlns:a16="http://schemas.microsoft.com/office/drawing/2014/main" pred="{3183848C-542A-ADB2-EFE3-853A2BAEE3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57700" y="1714500"/>
              <a:ext cx="1447800" cy="135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114300</xdr:rowOff>
    </xdr:from>
    <xdr:to>
      <xdr:col>2</xdr:col>
      <xdr:colOff>419100</xdr:colOff>
      <xdr:row>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75361B-7373-4115-8071-3F0DCA7B7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0" t="21320" r="72250" b="17477"/>
        <a:stretch>
          <a:fillRect/>
        </a:stretch>
      </xdr:blipFill>
      <xdr:spPr>
        <a:xfrm>
          <a:off x="1238250" y="114300"/>
          <a:ext cx="504825" cy="419100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12</xdr:row>
      <xdr:rowOff>152400</xdr:rowOff>
    </xdr:from>
    <xdr:to>
      <xdr:col>11</xdr:col>
      <xdr:colOff>28575</xdr:colOff>
      <xdr:row>23</xdr:row>
      <xdr:rowOff>28575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C17BD4C-342C-4280-A620-AD28C2044910}"/>
            </a:ext>
            <a:ext uri="{147F2762-F138-4A5C-976F-8EAC2B608ADB}">
              <a16:predDERef xmlns:a16="http://schemas.microsoft.com/office/drawing/2014/main" pred="{2F75361B-7373-4115-8071-3F0DCA7B7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9525</xdr:colOff>
      <xdr:row>5</xdr:row>
      <xdr:rowOff>28575</xdr:rowOff>
    </xdr:from>
    <xdr:to>
      <xdr:col>1</xdr:col>
      <xdr:colOff>0</xdr:colOff>
      <xdr:row>11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ubscription Type 1">
              <a:extLst>
                <a:ext uri="{FF2B5EF4-FFF2-40B4-BE49-F238E27FC236}">
                  <a16:creationId xmlns:a16="http://schemas.microsoft.com/office/drawing/2014/main" id="{9AFDC564-D3A1-6D79-1BB3-395F2368A278}"/>
                </a:ext>
                <a:ext uri="{147F2762-F138-4A5C-976F-8EAC2B608ADB}">
                  <a16:predDERef xmlns:a16="http://schemas.microsoft.com/office/drawing/2014/main" pred="{1C17BD4C-342C-4280-A620-AD28C20449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81075"/>
              <a:ext cx="1123950" cy="173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257175</xdr:colOff>
      <xdr:row>6</xdr:row>
      <xdr:rowOff>28575</xdr:rowOff>
    </xdr:from>
    <xdr:to>
      <xdr:col>4</xdr:col>
      <xdr:colOff>523875</xdr:colOff>
      <xdr:row>10</xdr:row>
      <xdr:rowOff>85725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6AEC7E5-19AA-472F-A6A5-EEA776638BC3}"/>
            </a:ext>
            <a:ext uri="{147F2762-F138-4A5C-976F-8EAC2B608ADB}">
              <a16:predDERef xmlns:a16="http://schemas.microsoft.com/office/drawing/2014/main" pred="{9AFDC564-D3A1-6D79-1BB3-395F2368A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1209675"/>
          <a:ext cx="1200150" cy="8286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200025</xdr:rowOff>
    </xdr:from>
    <xdr:to>
      <xdr:col>6</xdr:col>
      <xdr:colOff>0</xdr:colOff>
      <xdr:row>5</xdr:row>
      <xdr:rowOff>28575</xdr:rowOff>
    </xdr:to>
    <xdr:sp macro="" textlink="">
      <xdr:nvSpPr>
        <xdr:cNvPr id="7" name="Retângulo com Canto Redondo do Mesmo Lado 6">
          <a:extLst>
            <a:ext uri="{FF2B5EF4-FFF2-40B4-BE49-F238E27FC236}">
              <a16:creationId xmlns:a16="http://schemas.microsoft.com/office/drawing/2014/main" id="{E0CA8168-E3D2-38D7-6789-0499E3D958A9}"/>
            </a:ext>
            <a:ext uri="{147F2762-F138-4A5C-976F-8EAC2B608ADB}">
              <a16:predDERef xmlns:a16="http://schemas.microsoft.com/office/drawing/2014/main" pred="{E6AEC7E5-19AA-472F-A6A5-EEA776638BC3}"/>
            </a:ext>
          </a:extLst>
        </xdr:cNvPr>
        <xdr:cNvSpPr/>
      </xdr:nvSpPr>
      <xdr:spPr>
        <a:xfrm>
          <a:off x="1295400" y="781050"/>
          <a:ext cx="3638550" cy="323850"/>
        </a:xfrm>
        <a:prstGeom prst="round2Same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1" i="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SUBCRIPTIONS EA PLAY SEASON PASS</a:t>
          </a:r>
        </a:p>
      </xdr:txBody>
    </xdr:sp>
    <xdr:clientData/>
  </xdr:twoCellAnchor>
  <xdr:twoCellAnchor>
    <xdr:from>
      <xdr:col>6</xdr:col>
      <xdr:colOff>581025</xdr:colOff>
      <xdr:row>4</xdr:row>
      <xdr:rowOff>209550</xdr:rowOff>
    </xdr:from>
    <xdr:to>
      <xdr:col>10</xdr:col>
      <xdr:colOff>1028700</xdr:colOff>
      <xdr:row>5</xdr:row>
      <xdr:rowOff>19050</xdr:rowOff>
    </xdr:to>
    <xdr:sp macro="" textlink="">
      <xdr:nvSpPr>
        <xdr:cNvPr id="4" name="Retângulo com Canto Redondo do Mesmo Lado 3">
          <a:extLst>
            <a:ext uri="{FF2B5EF4-FFF2-40B4-BE49-F238E27FC236}">
              <a16:creationId xmlns:a16="http://schemas.microsoft.com/office/drawing/2014/main" id="{65E1CDB6-FF27-BC25-4042-226EDEDEC807}"/>
            </a:ext>
            <a:ext uri="{147F2762-F138-4A5C-976F-8EAC2B608ADB}">
              <a16:predDERef xmlns:a16="http://schemas.microsoft.com/office/drawing/2014/main" pred="{E0CA8168-E3D2-38D7-6789-0499E3D958A9}"/>
            </a:ext>
          </a:extLst>
        </xdr:cNvPr>
        <xdr:cNvSpPr/>
      </xdr:nvSpPr>
      <xdr:spPr>
        <a:xfrm>
          <a:off x="5514975" y="790575"/>
          <a:ext cx="3295650" cy="304800"/>
        </a:xfrm>
        <a:prstGeom prst="round2Same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000" b="1" i="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SUBCRIPTIONS MINECRAFT SISON PASS</a:t>
          </a:r>
        </a:p>
      </xdr:txBody>
    </xdr:sp>
    <xdr:clientData/>
  </xdr:twoCellAnchor>
  <xdr:twoCellAnchor>
    <xdr:from>
      <xdr:col>0</xdr:col>
      <xdr:colOff>200025</xdr:colOff>
      <xdr:row>1</xdr:row>
      <xdr:rowOff>0</xdr:rowOff>
    </xdr:from>
    <xdr:to>
      <xdr:col>0</xdr:col>
      <xdr:colOff>676275</xdr:colOff>
      <xdr:row>4</xdr:row>
      <xdr:rowOff>47625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D40B8F1-4D36-4A98-877A-DB4CD73B1291}"/>
            </a:ext>
            <a:ext uri="{147F2762-F138-4A5C-976F-8EAC2B608ADB}">
              <a16:predDERef xmlns:a16="http://schemas.microsoft.com/office/drawing/2014/main" pred="{65E1CDB6-FF27-BC25-4042-226EDEDEC807}"/>
            </a:ext>
          </a:extLst>
        </xdr:cNvPr>
        <xdr:cNvSpPr/>
      </xdr:nvSpPr>
      <xdr:spPr>
        <a:xfrm>
          <a:off x="200025" y="190500"/>
          <a:ext cx="476250" cy="438150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28575</xdr:colOff>
      <xdr:row>11</xdr:row>
      <xdr:rowOff>66675</xdr:rowOff>
    </xdr:from>
    <xdr:to>
      <xdr:col>11</xdr:col>
      <xdr:colOff>19050</xdr:colOff>
      <xdr:row>12</xdr:row>
      <xdr:rowOff>133350</xdr:rowOff>
    </xdr:to>
    <xdr:sp macro="" textlink="">
      <xdr:nvSpPr>
        <xdr:cNvPr id="9" name="Retângulo com Canto Redondo do Mesmo Lado 8">
          <a:extLst>
            <a:ext uri="{FF2B5EF4-FFF2-40B4-BE49-F238E27FC236}">
              <a16:creationId xmlns:a16="http://schemas.microsoft.com/office/drawing/2014/main" id="{EDC2B3DC-DE6B-4473-645C-9714BCE67C4A}"/>
            </a:ext>
            <a:ext uri="{147F2762-F138-4A5C-976F-8EAC2B608ADB}">
              <a16:predDERef xmlns:a16="http://schemas.microsoft.com/office/drawing/2014/main" pred="{4D40B8F1-4D36-4A98-877A-DB4CD73B1291}"/>
            </a:ext>
          </a:extLst>
        </xdr:cNvPr>
        <xdr:cNvSpPr/>
      </xdr:nvSpPr>
      <xdr:spPr>
        <a:xfrm>
          <a:off x="1323975" y="2209800"/>
          <a:ext cx="7524750" cy="257175"/>
        </a:xfrm>
        <a:prstGeom prst="round2Same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000" b="1" i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XBOX GAME PASS</a:t>
          </a:r>
        </a:p>
      </xdr:txBody>
    </xdr:sp>
    <xdr:clientData/>
  </xdr:twoCellAnchor>
  <xdr:twoCellAnchor editAs="oneCell">
    <xdr:from>
      <xdr:col>7</xdr:col>
      <xdr:colOff>209550</xdr:colOff>
      <xdr:row>7</xdr:row>
      <xdr:rowOff>0</xdr:rowOff>
    </xdr:from>
    <xdr:to>
      <xdr:col>8</xdr:col>
      <xdr:colOff>381000</xdr:colOff>
      <xdr:row>9</xdr:row>
      <xdr:rowOff>314325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E45B24A-A644-7C6B-7EC6-D23026FB5594}"/>
            </a:ext>
            <a:ext uri="{147F2762-F138-4A5C-976F-8EAC2B608ADB}">
              <a16:predDERef xmlns:a16="http://schemas.microsoft.com/office/drawing/2014/main" pred="{EDC2B3DC-DE6B-4473-645C-9714BCE67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67325" y="1276350"/>
          <a:ext cx="781050" cy="5715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</xdr:row>
      <xdr:rowOff>104775</xdr:rowOff>
    </xdr:from>
    <xdr:to>
      <xdr:col>0</xdr:col>
      <xdr:colOff>1085850</xdr:colOff>
      <xdr:row>4</xdr:row>
      <xdr:rowOff>276225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8D8A259C-AB8D-8BF2-DFE4-EA1B362B8F8B}"/>
            </a:ext>
            <a:ext uri="{147F2762-F138-4A5C-976F-8EAC2B608ADB}">
              <a16:predDERef xmlns:a16="http://schemas.microsoft.com/office/drawing/2014/main" pred="{2E45B24A-A644-7C6B-7EC6-D23026FB5594}"/>
            </a:ext>
          </a:extLst>
        </xdr:cNvPr>
        <xdr:cNvSpPr/>
      </xdr:nvSpPr>
      <xdr:spPr>
        <a:xfrm>
          <a:off x="47625" y="685800"/>
          <a:ext cx="1038225" cy="171450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800" b="1">
              <a:solidFill>
                <a:schemeClr val="lt1"/>
              </a:solidFill>
              <a:latin typeface="+mn-lt"/>
              <a:ea typeface="+mn-lt"/>
              <a:cs typeface="+mn-lt"/>
            </a:rPr>
            <a:t>&lt; BEM VINDA LUIZA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3.86982407407" createdVersion="8" refreshedVersion="8" minRefreshableVersion="3" recordCount="295" xr:uid="{D5BF8D08-59C1-4346-85AD-138C4753B5D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882948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5476F-5AB8-47D0-B3D1-55E1A14F0E9B}" name="Tabela dinâmica7" cacheId="4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4">
  <location ref="B33:C37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4">
    <format dxfId="15">
      <pivotArea outline="0" fieldPosition="0">
        <references count="1">
          <reference field="2" count="1" selected="0">
            <x v="0"/>
          </reference>
        </references>
      </pivotArea>
    </format>
    <format dxfId="16">
      <pivotArea outline="0" fieldPosition="0">
        <references count="1">
          <reference field="2" count="1" selected="0">
            <x v="1"/>
          </reference>
        </references>
      </pivotArea>
    </format>
    <format dxfId="17">
      <pivotArea outline="0" fieldPosition="0">
        <references count="1">
          <reference field="2" count="1" selected="0">
            <x v="2"/>
          </reference>
        </references>
      </pivotArea>
    </format>
    <format dxfId="18">
      <pivotArea grandRow="1" outline="0" collapsedLevelsAreSubtotals="1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77DEE-B7D8-432E-8F87-0E1ECC11563F}" name="Tabela dinâmica1" cacheId="467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24">
  <location ref="B22:C26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formats count="1">
    <format dxfId="14">
      <pivotArea grandRow="1" outline="0" collapsedLevelsAreSubtotals="1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B5F78-5116-4CC7-A4C6-F9E2B541FDD5}" name="Tabela dinâmica2" cacheId="467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24">
  <location ref="B10:D14" firstHeaderRow="1" firstDataRow="1" firstDataCol="2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Row" compact="0" outline="0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2">
    <field x="6"/>
    <field x="4"/>
  </rowFields>
  <rowItems count="4">
    <i>
      <x v="2"/>
      <x/>
    </i>
    <i r="1">
      <x v="1"/>
    </i>
    <i t="default"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FF3F1-202E-411C-937B-5705541FC0B5}" name="Tabela dinâmica2" cacheId="4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4">
  <location ref="A1:C5" firstHeaderRow="1" firstDataRow="1" firstDataCol="2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Row" compact="0" outline="0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2">
    <field x="6"/>
    <field x="4"/>
  </rowFields>
  <rowItems count="4">
    <i>
      <x v="2"/>
      <x/>
    </i>
    <i r="1">
      <x v="1"/>
    </i>
    <i t="default"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AB5AD58-C700-44C8-94B7-0256262BE111}" sourceName="Subscription Type">
  <pivotTables>
    <pivotTable tabId="3" name="Tabela dinâmica2"/>
    <pivotTable tabId="5" name="Tabela dinâmica2"/>
    <pivotTable tabId="3" name="Tabela dinâmica1"/>
    <pivotTable tabId="3" name="Tabela dinâmica7"/>
  </pivotTables>
  <data>
    <tabular pivotCacheId="1288294845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0AB9DAC-CD57-44FB-B76D-9BAFE804D8D3}" cache="SegmentaçãodeDados_Subscription_Type" caption="Subscription 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778FB0D5-1A89-4C17-B976-3820E703CE26}" cache="SegmentaçãodeDados_Subscription_Type" caption="Subscription Type" startItem="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AF54" sqref="AF54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59" zoomScale="90" zoomScaleNormal="90" workbookViewId="0">
      <selection activeCell="G166" sqref="G16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7"/>
  <sheetViews>
    <sheetView showGridLines="0" topLeftCell="A18" workbookViewId="0">
      <selection activeCell="E33" sqref="E33"/>
    </sheetView>
  </sheetViews>
  <sheetFormatPr defaultRowHeight="15"/>
  <cols>
    <col min="2" max="2" width="16.42578125" bestFit="1" customWidth="1"/>
    <col min="3" max="3" width="35" bestFit="1" customWidth="1"/>
    <col min="4" max="4" width="19.28515625" bestFit="1" customWidth="1"/>
    <col min="5" max="5" width="19.28515625" customWidth="1"/>
    <col min="6" max="6" width="19.28515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33" t="s">
        <v>313</v>
      </c>
      <c r="C3" s="33"/>
      <c r="D3" s="33"/>
      <c r="E3" s="33"/>
      <c r="F3" s="33"/>
    </row>
    <row r="6" spans="2:6">
      <c r="B6" s="12" t="s">
        <v>314</v>
      </c>
    </row>
    <row r="7" spans="2:6">
      <c r="B7" s="12" t="s">
        <v>315</v>
      </c>
    </row>
    <row r="10" spans="2:6">
      <c r="B10" s="13" t="s">
        <v>17</v>
      </c>
      <c r="C10" s="13" t="s">
        <v>15</v>
      </c>
      <c r="D10" t="s">
        <v>316</v>
      </c>
    </row>
    <row r="11" spans="2:6">
      <c r="B11" t="s">
        <v>35</v>
      </c>
      <c r="C11" t="s">
        <v>30</v>
      </c>
      <c r="D11" s="14">
        <v>806</v>
      </c>
    </row>
    <row r="12" spans="2:6">
      <c r="C12" t="s">
        <v>26</v>
      </c>
      <c r="D12" s="14">
        <v>1502</v>
      </c>
    </row>
    <row r="13" spans="2:6">
      <c r="B13" t="s">
        <v>317</v>
      </c>
      <c r="D13" s="14">
        <v>2308</v>
      </c>
    </row>
    <row r="14" spans="2:6">
      <c r="B14" t="s">
        <v>318</v>
      </c>
      <c r="D14" s="14">
        <v>2308</v>
      </c>
    </row>
    <row r="19" spans="2:5">
      <c r="B19" s="34" t="s">
        <v>319</v>
      </c>
      <c r="C19" s="34"/>
      <c r="D19" s="34"/>
    </row>
    <row r="20" spans="2:5">
      <c r="B20" s="13" t="s">
        <v>17</v>
      </c>
      <c r="C20" t="s">
        <v>35</v>
      </c>
    </row>
    <row r="22" spans="2:5">
      <c r="B22" s="13" t="s">
        <v>13</v>
      </c>
      <c r="C22" t="s">
        <v>320</v>
      </c>
      <c r="E22" s="19">
        <f>C26</f>
        <v>990</v>
      </c>
    </row>
    <row r="23" spans="2:5">
      <c r="B23" t="s">
        <v>29</v>
      </c>
      <c r="C23" s="20">
        <v>0</v>
      </c>
    </row>
    <row r="24" spans="2:5">
      <c r="B24" t="s">
        <v>34</v>
      </c>
      <c r="C24" s="20">
        <v>0</v>
      </c>
    </row>
    <row r="25" spans="2:5">
      <c r="B25" t="s">
        <v>25</v>
      </c>
      <c r="C25" s="20">
        <v>990</v>
      </c>
    </row>
    <row r="26" spans="2:5">
      <c r="B26" t="s">
        <v>318</v>
      </c>
      <c r="C26" s="19">
        <v>990</v>
      </c>
    </row>
    <row r="29" spans="2:5">
      <c r="B29" t="s">
        <v>321</v>
      </c>
    </row>
    <row r="31" spans="2:5">
      <c r="B31" s="13" t="s">
        <v>17</v>
      </c>
      <c r="C31" t="s">
        <v>35</v>
      </c>
    </row>
    <row r="33" spans="2:5">
      <c r="B33" s="13" t="s">
        <v>13</v>
      </c>
      <c r="C33" t="s">
        <v>322</v>
      </c>
      <c r="E33" s="19">
        <f>C37</f>
        <v>1140</v>
      </c>
    </row>
    <row r="34" spans="2:5">
      <c r="B34" t="s">
        <v>29</v>
      </c>
      <c r="C34" s="19">
        <v>0</v>
      </c>
    </row>
    <row r="35" spans="2:5">
      <c r="B35" t="s">
        <v>34</v>
      </c>
      <c r="C35" s="19">
        <v>480</v>
      </c>
    </row>
    <row r="36" spans="2:5">
      <c r="B36" t="s">
        <v>25</v>
      </c>
      <c r="C36" s="19">
        <v>660</v>
      </c>
    </row>
    <row r="37" spans="2:5">
      <c r="B37" t="s">
        <v>318</v>
      </c>
      <c r="C37" s="19">
        <v>1140</v>
      </c>
    </row>
  </sheetData>
  <mergeCells count="2">
    <mergeCell ref="B3:F3"/>
    <mergeCell ref="B19:D19"/>
  </mergeCells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N94"/>
  <sheetViews>
    <sheetView showGridLines="0" showRowColHeaders="0" tabSelected="1" zoomScale="80" zoomScaleNormal="80" workbookViewId="0">
      <selection activeCell="L13" sqref="L13"/>
    </sheetView>
  </sheetViews>
  <sheetFormatPr defaultRowHeight="15"/>
  <cols>
    <col min="1" max="1" width="17.140625" style="23" customWidth="1"/>
    <col min="2" max="2" width="2.7109375" style="25" customWidth="1"/>
    <col min="3" max="3" width="14" customWidth="1"/>
    <col min="4" max="4" width="0" hidden="1" customWidth="1"/>
    <col min="5" max="5" width="22.85546875" customWidth="1"/>
    <col min="6" max="6" width="18.85546875" customWidth="1"/>
    <col min="9" max="9" width="7" customWidth="1"/>
    <col min="10" max="10" width="17.42578125" customWidth="1"/>
    <col min="11" max="11" width="15.7109375" customWidth="1"/>
    <col min="12" max="12" width="55.140625" customWidth="1"/>
    <col min="13" max="13" width="16.5703125" hidden="1" customWidth="1"/>
    <col min="14" max="14" width="19.28515625" customWidth="1"/>
  </cols>
  <sheetData>
    <row r="1" spans="1:14">
      <c r="C1" s="16"/>
      <c r="D1" s="16"/>
      <c r="E1" s="16"/>
      <c r="F1" s="16"/>
      <c r="G1" s="16"/>
      <c r="H1" s="16"/>
      <c r="I1" s="16"/>
      <c r="J1" s="16"/>
    </row>
    <row r="2" spans="1:14">
      <c r="B2" s="26"/>
      <c r="C2" s="28" t="s">
        <v>323</v>
      </c>
      <c r="D2" s="28"/>
      <c r="E2" s="28"/>
      <c r="F2" s="28"/>
      <c r="G2" s="28"/>
      <c r="H2" s="28"/>
      <c r="I2" s="28"/>
      <c r="J2" s="28"/>
      <c r="K2" s="28"/>
      <c r="L2" s="16"/>
    </row>
    <row r="3" spans="1:14">
      <c r="K3" s="16"/>
    </row>
    <row r="4" spans="1:14" s="15" customFormat="1" ht="0.75" customHeight="1">
      <c r="A4" s="23"/>
      <c r="B4" s="25"/>
    </row>
    <row r="5" spans="1:14" s="7" customFormat="1" ht="39" customHeight="1">
      <c r="A5" s="23"/>
      <c r="B5" s="25"/>
      <c r="C5" s="31" t="s">
        <v>324</v>
      </c>
      <c r="D5" s="31"/>
      <c r="E5" s="31"/>
      <c r="F5" s="31"/>
    </row>
    <row r="6" spans="1:14" s="7" customFormat="1" ht="8.25" customHeight="1">
      <c r="A6" s="23"/>
      <c r="B6" s="25"/>
      <c r="C6" s="27"/>
      <c r="D6" s="21"/>
      <c r="E6" s="21"/>
      <c r="F6" s="21"/>
      <c r="H6" s="32"/>
      <c r="I6" s="32"/>
      <c r="J6" s="32"/>
      <c r="K6" s="32"/>
    </row>
    <row r="7" spans="1:14" s="7" customFormat="1" ht="7.5" customHeight="1">
      <c r="A7" s="23"/>
      <c r="B7" s="25"/>
      <c r="C7" s="27"/>
      <c r="D7" s="21"/>
      <c r="E7" s="21"/>
      <c r="F7" s="21"/>
      <c r="H7" s="21"/>
      <c r="I7" s="21"/>
      <c r="J7" s="29">
        <f>C̳álculos!E33</f>
        <v>1140</v>
      </c>
      <c r="K7" s="29"/>
    </row>
    <row r="8" spans="1:14" s="7" customFormat="1" ht="10.5" customHeight="1">
      <c r="A8" s="23"/>
      <c r="B8" s="25"/>
      <c r="C8" s="27"/>
      <c r="D8" s="30">
        <f>C̳álculos!E22</f>
        <v>990</v>
      </c>
      <c r="E8" s="30"/>
      <c r="F8" s="30"/>
      <c r="H8" s="21"/>
      <c r="I8" s="21"/>
      <c r="J8" s="29"/>
      <c r="K8" s="29"/>
    </row>
    <row r="9" spans="1:14" s="7" customFormat="1" ht="9.75" customHeight="1">
      <c r="A9" s="23"/>
      <c r="B9" s="25"/>
      <c r="C9" s="21"/>
      <c r="D9" s="30"/>
      <c r="E9" s="30"/>
      <c r="F9" s="30"/>
      <c r="H9" s="21"/>
      <c r="I9" s="21"/>
      <c r="J9" s="29"/>
      <c r="K9" s="29"/>
    </row>
    <row r="10" spans="1:14" s="7" customFormat="1" ht="33" customHeight="1">
      <c r="A10" s="23"/>
      <c r="B10" s="25"/>
      <c r="C10" s="21"/>
      <c r="D10" s="30"/>
      <c r="E10" s="30"/>
      <c r="F10" s="30"/>
      <c r="G10" s="17"/>
      <c r="H10" s="21"/>
      <c r="I10" s="21"/>
      <c r="J10" s="29"/>
      <c r="K10" s="29"/>
    </row>
    <row r="11" spans="1:14" s="7" customFormat="1">
      <c r="A11" s="23"/>
      <c r="B11" s="25"/>
    </row>
    <row r="12" spans="1:14" s="7" customFormat="1">
      <c r="A12" s="23"/>
      <c r="B12" s="25"/>
      <c r="F12" s="18"/>
      <c r="H12" s="22"/>
    </row>
    <row r="13" spans="1:14" s="7" customFormat="1">
      <c r="A13" s="23"/>
      <c r="B13" s="25"/>
    </row>
    <row r="14" spans="1:14" s="7" customFormat="1">
      <c r="A14" s="23"/>
      <c r="B14" s="25"/>
    </row>
    <row r="15" spans="1:14" s="7" customFormat="1">
      <c r="A15" s="23"/>
      <c r="B15" s="25"/>
    </row>
    <row r="16" spans="1:14" s="7" customFormat="1">
      <c r="A16" s="23"/>
      <c r="B16" s="25"/>
      <c r="N16" s="24"/>
    </row>
    <row r="17" spans="1:2" s="7" customFormat="1">
      <c r="A17" s="23"/>
      <c r="B17" s="25"/>
    </row>
    <row r="18" spans="1:2" s="7" customFormat="1">
      <c r="A18" s="23"/>
      <c r="B18" s="25"/>
    </row>
    <row r="19" spans="1:2" s="7" customFormat="1">
      <c r="A19" s="23"/>
      <c r="B19" s="25"/>
    </row>
    <row r="20" spans="1:2" s="7" customFormat="1">
      <c r="A20" s="23"/>
      <c r="B20" s="25"/>
    </row>
    <row r="21" spans="1:2" s="7" customFormat="1">
      <c r="A21" s="23"/>
      <c r="B21" s="25"/>
    </row>
    <row r="22" spans="1:2" s="7" customFormat="1">
      <c r="A22" s="23"/>
      <c r="B22" s="25"/>
    </row>
    <row r="23" spans="1:2" s="7" customFormat="1">
      <c r="A23" s="23"/>
      <c r="B23" s="25"/>
    </row>
    <row r="24" spans="1:2" s="7" customFormat="1">
      <c r="A24" s="23"/>
      <c r="B24" s="25"/>
    </row>
    <row r="25" spans="1:2" s="7" customFormat="1">
      <c r="A25" s="23"/>
      <c r="B25" s="25"/>
    </row>
    <row r="26" spans="1:2" s="7" customFormat="1">
      <c r="A26" s="23"/>
      <c r="B26" s="25"/>
    </row>
    <row r="27" spans="1:2" s="7" customFormat="1">
      <c r="A27" s="23"/>
      <c r="B27" s="25"/>
    </row>
    <row r="28" spans="1:2" s="7" customFormat="1">
      <c r="A28" s="23"/>
      <c r="B28" s="25"/>
    </row>
    <row r="29" spans="1:2" s="7" customFormat="1">
      <c r="A29" s="23"/>
      <c r="B29" s="25"/>
    </row>
    <row r="30" spans="1:2" s="7" customFormat="1">
      <c r="A30" s="23"/>
      <c r="B30" s="25"/>
    </row>
    <row r="31" spans="1:2" s="7" customFormat="1">
      <c r="A31" s="23"/>
      <c r="B31" s="25"/>
    </row>
    <row r="32" spans="1:2" s="7" customFormat="1">
      <c r="A32" s="23"/>
      <c r="B32" s="25"/>
    </row>
    <row r="33" spans="1:2" s="7" customFormat="1">
      <c r="A33" s="23"/>
      <c r="B33" s="25"/>
    </row>
    <row r="34" spans="1:2" s="7" customFormat="1">
      <c r="A34" s="23"/>
      <c r="B34" s="25"/>
    </row>
    <row r="35" spans="1:2" s="7" customFormat="1">
      <c r="A35" s="23"/>
      <c r="B35" s="25"/>
    </row>
    <row r="36" spans="1:2" s="7" customFormat="1">
      <c r="A36" s="23"/>
      <c r="B36" s="25"/>
    </row>
    <row r="37" spans="1:2" s="7" customFormat="1">
      <c r="A37" s="23"/>
      <c r="B37" s="25"/>
    </row>
    <row r="38" spans="1:2" s="7" customFormat="1">
      <c r="A38" s="23"/>
      <c r="B38" s="25"/>
    </row>
    <row r="39" spans="1:2" s="7" customFormat="1">
      <c r="A39" s="23"/>
      <c r="B39" s="25"/>
    </row>
    <row r="40" spans="1:2" s="7" customFormat="1">
      <c r="A40" s="23"/>
      <c r="B40" s="25"/>
    </row>
    <row r="41" spans="1:2" s="7" customFormat="1">
      <c r="A41" s="23"/>
      <c r="B41" s="25"/>
    </row>
    <row r="42" spans="1:2" s="7" customFormat="1">
      <c r="A42" s="23"/>
      <c r="B42" s="25"/>
    </row>
    <row r="43" spans="1:2" s="7" customFormat="1">
      <c r="A43" s="23"/>
      <c r="B43" s="25"/>
    </row>
    <row r="44" spans="1:2" s="7" customFormat="1">
      <c r="A44" s="23"/>
      <c r="B44" s="25"/>
    </row>
    <row r="45" spans="1:2" s="7" customFormat="1">
      <c r="A45" s="23"/>
      <c r="B45" s="25"/>
    </row>
    <row r="46" spans="1:2" s="7" customFormat="1">
      <c r="A46" s="23"/>
      <c r="B46" s="25"/>
    </row>
    <row r="47" spans="1:2" s="7" customFormat="1">
      <c r="A47" s="23"/>
      <c r="B47" s="25"/>
    </row>
    <row r="48" spans="1:2" s="7" customFormat="1">
      <c r="A48" s="23"/>
      <c r="B48" s="25"/>
    </row>
    <row r="49" spans="1:2" s="7" customFormat="1">
      <c r="A49" s="23"/>
      <c r="B49" s="25"/>
    </row>
    <row r="50" spans="1:2" s="7" customFormat="1">
      <c r="A50" s="23"/>
      <c r="B50" s="25"/>
    </row>
    <row r="51" spans="1:2" s="7" customFormat="1">
      <c r="A51" s="23"/>
      <c r="B51" s="25"/>
    </row>
    <row r="52" spans="1:2" s="7" customFormat="1">
      <c r="A52" s="23"/>
      <c r="B52" s="25"/>
    </row>
    <row r="53" spans="1:2" s="7" customFormat="1">
      <c r="A53" s="23"/>
      <c r="B53" s="25"/>
    </row>
    <row r="54" spans="1:2" s="7" customFormat="1">
      <c r="A54" s="23"/>
      <c r="B54" s="25"/>
    </row>
    <row r="55" spans="1:2" s="7" customFormat="1">
      <c r="A55" s="23"/>
      <c r="B55" s="25"/>
    </row>
    <row r="56" spans="1:2" s="7" customFormat="1">
      <c r="A56" s="23"/>
      <c r="B56" s="25"/>
    </row>
    <row r="57" spans="1:2" s="7" customFormat="1">
      <c r="A57" s="23"/>
      <c r="B57" s="25"/>
    </row>
    <row r="58" spans="1:2" s="7" customFormat="1">
      <c r="A58" s="23"/>
      <c r="B58" s="25"/>
    </row>
    <row r="59" spans="1:2" s="7" customFormat="1">
      <c r="A59" s="23"/>
      <c r="B59" s="25"/>
    </row>
    <row r="60" spans="1:2" s="7" customFormat="1">
      <c r="A60" s="23"/>
      <c r="B60" s="25"/>
    </row>
    <row r="61" spans="1:2" s="7" customFormat="1">
      <c r="A61" s="23"/>
      <c r="B61" s="25"/>
    </row>
    <row r="62" spans="1:2" s="7" customFormat="1">
      <c r="A62" s="23"/>
      <c r="B62" s="25"/>
    </row>
    <row r="63" spans="1:2" s="7" customFormat="1">
      <c r="A63" s="23"/>
      <c r="B63" s="25"/>
    </row>
    <row r="64" spans="1:2" s="7" customFormat="1">
      <c r="A64" s="23"/>
      <c r="B64" s="25"/>
    </row>
    <row r="65" spans="1:2" s="7" customFormat="1">
      <c r="A65" s="23"/>
      <c r="B65" s="25"/>
    </row>
    <row r="66" spans="1:2" s="7" customFormat="1">
      <c r="A66" s="23"/>
      <c r="B66" s="25"/>
    </row>
    <row r="67" spans="1:2" s="7" customFormat="1">
      <c r="A67" s="23"/>
      <c r="B67" s="25"/>
    </row>
    <row r="68" spans="1:2" s="7" customFormat="1">
      <c r="A68" s="23"/>
      <c r="B68" s="25"/>
    </row>
    <row r="69" spans="1:2" s="7" customFormat="1">
      <c r="A69" s="23"/>
      <c r="B69" s="25"/>
    </row>
    <row r="70" spans="1:2" s="7" customFormat="1">
      <c r="A70" s="23"/>
      <c r="B70" s="25"/>
    </row>
    <row r="71" spans="1:2" s="7" customFormat="1">
      <c r="A71" s="23"/>
      <c r="B71" s="25"/>
    </row>
    <row r="72" spans="1:2" s="7" customFormat="1">
      <c r="A72" s="23"/>
      <c r="B72" s="25"/>
    </row>
    <row r="73" spans="1:2" s="7" customFormat="1">
      <c r="A73" s="23"/>
      <c r="B73" s="25"/>
    </row>
    <row r="74" spans="1:2" s="7" customFormat="1">
      <c r="A74" s="23"/>
      <c r="B74" s="25"/>
    </row>
    <row r="75" spans="1:2" s="7" customFormat="1">
      <c r="A75" s="23"/>
      <c r="B75" s="25"/>
    </row>
    <row r="76" spans="1:2" s="7" customFormat="1">
      <c r="A76" s="23"/>
      <c r="B76" s="25"/>
    </row>
    <row r="77" spans="1:2" s="7" customFormat="1">
      <c r="A77" s="23"/>
      <c r="B77" s="25"/>
    </row>
    <row r="78" spans="1:2" s="7" customFormat="1">
      <c r="A78" s="23"/>
      <c r="B78" s="25"/>
    </row>
    <row r="79" spans="1:2" s="7" customFormat="1">
      <c r="A79" s="23"/>
      <c r="B79" s="25"/>
    </row>
    <row r="80" spans="1:2" s="7" customFormat="1">
      <c r="A80" s="23"/>
      <c r="B80" s="25"/>
    </row>
    <row r="81" spans="1:2" s="7" customFormat="1">
      <c r="A81" s="23"/>
      <c r="B81" s="25"/>
    </row>
    <row r="82" spans="1:2" s="7" customFormat="1">
      <c r="A82" s="23"/>
      <c r="B82" s="25"/>
    </row>
    <row r="83" spans="1:2" s="7" customFormat="1">
      <c r="A83" s="23"/>
      <c r="B83" s="25"/>
    </row>
    <row r="84" spans="1:2" s="7" customFormat="1">
      <c r="A84" s="23"/>
      <c r="B84" s="25"/>
    </row>
    <row r="85" spans="1:2" s="7" customFormat="1">
      <c r="A85" s="23"/>
      <c r="B85" s="25"/>
    </row>
    <row r="86" spans="1:2" s="7" customFormat="1">
      <c r="A86" s="23"/>
      <c r="B86" s="25"/>
    </row>
    <row r="87" spans="1:2" s="7" customFormat="1">
      <c r="A87" s="23"/>
      <c r="B87" s="25"/>
    </row>
    <row r="88" spans="1:2" s="7" customFormat="1">
      <c r="A88" s="23"/>
      <c r="B88" s="25"/>
    </row>
    <row r="89" spans="1:2" s="7" customFormat="1">
      <c r="A89" s="23"/>
      <c r="B89" s="25"/>
    </row>
    <row r="90" spans="1:2" s="7" customFormat="1">
      <c r="A90" s="23"/>
      <c r="B90" s="25"/>
    </row>
    <row r="91" spans="1:2" s="7" customFormat="1">
      <c r="A91" s="23"/>
      <c r="B91" s="25"/>
    </row>
    <row r="92" spans="1:2" s="7" customFormat="1">
      <c r="A92" s="23"/>
      <c r="B92" s="25"/>
    </row>
    <row r="93" spans="1:2" s="7" customFormat="1">
      <c r="A93" s="23"/>
      <c r="B93" s="25"/>
    </row>
    <row r="94" spans="1:2" s="7" customFormat="1">
      <c r="A94" s="23"/>
      <c r="B94" s="25"/>
    </row>
  </sheetData>
  <mergeCells count="6">
    <mergeCell ref="C6:C8"/>
    <mergeCell ref="C2:K2"/>
    <mergeCell ref="J7:K10"/>
    <mergeCell ref="D8:F10"/>
    <mergeCell ref="C5:F5"/>
    <mergeCell ref="H6:K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18FE-82BE-430D-8D73-2E9DA21B1D85}">
  <dimension ref="A1:C5"/>
  <sheetViews>
    <sheetView workbookViewId="0">
      <selection activeCell="I15" sqref="I15"/>
    </sheetView>
  </sheetViews>
  <sheetFormatPr defaultRowHeight="15"/>
  <cols>
    <col min="2" max="2" width="16.5703125" bestFit="1" customWidth="1"/>
    <col min="3" max="3" width="19.28515625" bestFit="1" customWidth="1"/>
  </cols>
  <sheetData>
    <row r="1" spans="1:3">
      <c r="A1" s="13" t="s">
        <v>17</v>
      </c>
      <c r="B1" s="13" t="s">
        <v>15</v>
      </c>
      <c r="C1" t="s">
        <v>316</v>
      </c>
    </row>
    <row r="2" spans="1:3">
      <c r="A2" t="s">
        <v>35</v>
      </c>
      <c r="B2" t="s">
        <v>30</v>
      </c>
      <c r="C2" s="14">
        <v>806</v>
      </c>
    </row>
    <row r="3" spans="1:3">
      <c r="B3" t="s">
        <v>26</v>
      </c>
      <c r="C3" s="14">
        <v>1502</v>
      </c>
    </row>
    <row r="4" spans="1:3">
      <c r="A4" t="s">
        <v>317</v>
      </c>
      <c r="C4" s="14">
        <v>2308</v>
      </c>
    </row>
    <row r="5" spans="1:3">
      <c r="A5" t="s">
        <v>318</v>
      </c>
      <c r="C5" s="14">
        <v>2308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2026-10-02T04:34:30Z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